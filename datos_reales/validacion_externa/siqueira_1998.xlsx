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ente" sheetId="1" state="visible" r:id="rId3"/>
    <sheet name="Datos" sheetId="2" state="visible" r:id="rId4"/>
    <sheet name="Altura_efect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<sst xmlns="http://schemas.openxmlformats.org/spreadsheetml/2006/main" count="322" uniqueCount="48">
  <si>
    <t xml:space="preserve">Ficha de la fuente</t>
  </si>
  <si>
    <t xml:space="preserve">Referencia</t>
  </si>
  <si>
    <t xml:space="preserve">Siqueira JO, Saggin-Júnior OJ, Flores-Aylas WW, Guimarães PTG (1998). Arbuscular mycorrhizal inoculation and superphosphate application influence plant development and yield of coffee in Brazil. Mycorrhiza 7:293-300.</t>
  </si>
  <si>
    <t xml:space="preserve">DOI</t>
  </si>
  <si>
    <t xml:space="preserve">10.1007/s005720050195</t>
  </si>
  <si>
    <t xml:space="preserve">Para qué sirve</t>
  </si>
  <si>
    <t xml:space="preserve">APOYO: ver cómo cambia con el tiempo el efecto de la inoculación (control sin inocular frente a plántulas pre-colonizadas), con datos en tabla.</t>
  </si>
  <si>
    <t xml:space="preserve">Diseño</t>
  </si>
  <si>
    <t xml:space="preserve">Café Mundo Novo, ensayo de campo de 6 años en un Oxisol de baja fertilidad (Patrocínio, Minas Gerais, Brasil). 5 dosis de superfosfato × 7 tratamientos fúngicos (Ni = sin inocular; CM = mezcla de Glomus clarum y Gigaspora margarita; TP, Par, Pat, Var, Lav = aislados de G. etunicatum). 4 bloques; datos de las 4 plantas centrales por parcela.</t>
  </si>
  <si>
    <t xml:space="preserve">Fechas</t>
  </si>
  <si>
    <t xml:space="preserve">Altura: 0, 9, 19 y 26 meses tras el trasplante (MAT). Diámetro del tallo y de copa: 9, 19 y 26 MAT.</t>
  </si>
  <si>
    <t xml:space="preserve">Origen de los datos</t>
  </si>
  <si>
    <t xml:space="preserve">Tabla 2 del paper: medias por tratamiento fúngico, PROMEDIADAS sobre las 5 dosis de P. Las letras de Tukey no se transcribieron. La tabla rotula el diámetro del tallo en cm, pero los valores (5 a 30) parecen mm.</t>
  </si>
  <si>
    <t xml:space="preserve">Cuartil de la revista</t>
  </si>
  <si>
    <t xml:space="preserve">Por verificar en Scimago. Según LetPub, la revista hoy: Q1 en Plant Sciences y Q2 en Micología (WoS). No es el cuartil de 1998.</t>
  </si>
  <si>
    <t xml:space="preserve">Limitaciones</t>
  </si>
  <si>
    <t xml:space="preserve">Solo 4 fechas y en meses (con un modelo de 3 parámetros queda 1 grado de libertad). Ensayo de campo con otra edad y unidades. El control se coloniza con hongos nativos con el tiempo, de ahí que el efecto se apague. Sin réplicas, solo medias.</t>
  </si>
  <si>
    <t xml:space="preserve">Hojas</t>
  </si>
  <si>
    <t xml:space="preserve">Datos: formato largo. Altura_efecto: tabla con el % sobre el control calculado con fórmulas.</t>
  </si>
  <si>
    <t xml:space="preserve">variable</t>
  </si>
  <si>
    <t xml:space="preserve">unidad</t>
  </si>
  <si>
    <t xml:space="preserve">tratamiento</t>
  </si>
  <si>
    <t xml:space="preserve">mat</t>
  </si>
  <si>
    <t xml:space="preserve">media</t>
  </si>
  <si>
    <t xml:space="preserve">origen</t>
  </si>
  <si>
    <t xml:space="preserve">altura</t>
  </si>
  <si>
    <t xml:space="preserve">cm</t>
  </si>
  <si>
    <t xml:space="preserve">Ni</t>
  </si>
  <si>
    <t xml:space="preserve">Tabla 2 (promedio de 5 dosis de P)</t>
  </si>
  <si>
    <t xml:space="preserve">CM</t>
  </si>
  <si>
    <t xml:space="preserve">TP</t>
  </si>
  <si>
    <t xml:space="preserve">Par</t>
  </si>
  <si>
    <t xml:space="preserve">Pat</t>
  </si>
  <si>
    <t xml:space="preserve">Var</t>
  </si>
  <si>
    <t xml:space="preserve">Lav</t>
  </si>
  <si>
    <t xml:space="preserve">diametro_tallo</t>
  </si>
  <si>
    <t xml:space="preserve">mm (tabla dice cm)</t>
  </si>
  <si>
    <t xml:space="preserve">diametro_copa</t>
  </si>
  <si>
    <t xml:space="preserve">Altura de planta (cm) y % sobre el control sin inocular (Ni)</t>
  </si>
  <si>
    <t xml:space="preserve">Tratamiento</t>
  </si>
  <si>
    <t xml:space="preserve">0 MAT</t>
  </si>
  <si>
    <t xml:space="preserve">9 MAT</t>
  </si>
  <si>
    <t xml:space="preserve">19 MAT</t>
  </si>
  <si>
    <t xml:space="preserve">26 MAT</t>
  </si>
  <si>
    <t xml:space="preserve">% sobre Ni a 9 MAT</t>
  </si>
  <si>
    <t xml:space="preserve">% sobre Ni a 19 MAT</t>
  </si>
  <si>
    <t xml:space="preserve">% sobre Ni a 26 MAT</t>
  </si>
  <si>
    <t xml:space="preserve">El paper cita el efecto máximo en altura como 50%, 18% y 10% a los 9, 19 y 26 MAT (tratamiento Lav): coincide con la última fila.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</si>
</sst>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447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5C6"/>
      </left>
      <right style="thin">
        <color rgb="FFDDD5C6"/>
      </right>
      <top style="thin">
        <color rgb="FFDDD5C6"/>
      </top>
      <bottom style="thin">
        <color rgb="FFDDD5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5C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B447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  <c r="B3" s="3" t="s">
        <v>2</v>
      </c>
    </row>
    <row r="4" customFormat="false" ht="18" hidden="false" customHeight="true" outlineLevel="0" collapsed="false">
      <c r="A4" s="2" t="s">
        <v>3</v>
      </c>
      <c r="B4" s="3" t="s">
        <v>4</v>
      </c>
    </row>
    <row r="5" customFormat="false" ht="30" hidden="false" customHeight="true" outlineLevel="0" collapsed="false">
      <c r="A5" s="2" t="s">
        <v>5</v>
      </c>
      <c r="B5" s="3" t="s">
        <v>6</v>
      </c>
    </row>
    <row r="6" customFormat="false" ht="60" hidden="false" customHeight="true" outlineLevel="0" collapsed="false">
      <c r="A6" s="2" t="s">
        <v>7</v>
      </c>
      <c r="B6" s="3" t="s">
        <v>8</v>
      </c>
    </row>
    <row r="7" customFormat="false" ht="18" hidden="false" customHeight="true" outlineLevel="0" collapsed="false">
      <c r="A7" s="2" t="s">
        <v>9</v>
      </c>
      <c r="B7" s="3" t="s">
        <v>10</v>
      </c>
    </row>
    <row r="8" customFormat="false" ht="45" hidden="false" customHeight="true" outlineLevel="0" collapsed="false">
      <c r="A8" s="2" t="s">
        <v>11</v>
      </c>
      <c r="B8" s="3" t="s">
        <v>12</v>
      </c>
    </row>
    <row r="9" customFormat="false" ht="30" hidden="false" customHeight="true" outlineLevel="0" collapsed="false">
      <c r="A9" s="2" t="s">
        <v>13</v>
      </c>
      <c r="B9" s="3" t="s">
        <v>14</v>
      </c>
    </row>
    <row r="10" customFormat="false" ht="45" hidden="false" customHeight="true" outlineLevel="0" collapsed="false">
      <c r="A10" s="2" t="s">
        <v>15</v>
      </c>
      <c r="B10" s="3" t="s">
        <v>16</v>
      </c>
    </row>
    <row r="11" customFormat="false" ht="18" hidden="false" customHeight="true" outlineLevel="0" collapsed="false">
      <c r="A11" s="2" t="s">
        <v>17</v>
      </c>
      <c r="B11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36"/>
  </cols>
  <sheetData>
    <row r="1" customFormat="false" ht="15" hidden="false" customHeight="fals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</row>
    <row r="2" customFormat="false" ht="15" hidden="false" customHeight="false" outlineLevel="0" collapsed="false">
      <c r="A2" s="5" t="s">
        <v>25</v>
      </c>
      <c r="B2" s="5" t="s">
        <v>26</v>
      </c>
      <c r="C2" s="5" t="s">
        <v>27</v>
      </c>
      <c r="D2" s="5" t="n">
        <v>0</v>
      </c>
      <c r="E2" s="5" t="n">
        <v>10</v>
      </c>
      <c r="F2" s="5" t="s">
        <v>28</v>
      </c>
    </row>
    <row r="3" customFormat="false" ht="15" hidden="false" customHeight="false" outlineLevel="0" collapsed="false">
      <c r="A3" s="5" t="s">
        <v>25</v>
      </c>
      <c r="B3" s="5" t="s">
        <v>26</v>
      </c>
      <c r="C3" s="5" t="s">
        <v>27</v>
      </c>
      <c r="D3" s="5" t="n">
        <v>9</v>
      </c>
      <c r="E3" s="5" t="n">
        <v>32</v>
      </c>
      <c r="F3" s="5" t="s">
        <v>28</v>
      </c>
    </row>
    <row r="4" customFormat="false" ht="15" hidden="false" customHeight="false" outlineLevel="0" collapsed="false">
      <c r="A4" s="5" t="s">
        <v>25</v>
      </c>
      <c r="B4" s="5" t="s">
        <v>26</v>
      </c>
      <c r="C4" s="5" t="s">
        <v>27</v>
      </c>
      <c r="D4" s="5" t="n">
        <v>19</v>
      </c>
      <c r="E4" s="5" t="n">
        <v>76</v>
      </c>
      <c r="F4" s="5" t="s">
        <v>28</v>
      </c>
    </row>
    <row r="5" customFormat="false" ht="15" hidden="false" customHeight="false" outlineLevel="0" collapsed="false">
      <c r="A5" s="5" t="s">
        <v>25</v>
      </c>
      <c r="B5" s="5" t="s">
        <v>26</v>
      </c>
      <c r="C5" s="5" t="s">
        <v>27</v>
      </c>
      <c r="D5" s="5" t="n">
        <v>26</v>
      </c>
      <c r="E5" s="5" t="n">
        <v>106</v>
      </c>
      <c r="F5" s="5" t="s">
        <v>28</v>
      </c>
    </row>
    <row r="6" customFormat="false" ht="15" hidden="false" customHeight="false" outlineLevel="0" collapsed="false">
      <c r="A6" s="5" t="s">
        <v>25</v>
      </c>
      <c r="B6" s="5" t="s">
        <v>26</v>
      </c>
      <c r="C6" s="5" t="s">
        <v>29</v>
      </c>
      <c r="D6" s="5" t="n">
        <v>0</v>
      </c>
      <c r="E6" s="5" t="n">
        <v>15</v>
      </c>
      <c r="F6" s="5" t="s">
        <v>28</v>
      </c>
    </row>
    <row r="7" customFormat="false" ht="15" hidden="false" customHeight="false" outlineLevel="0" collapsed="false">
      <c r="A7" s="5" t="s">
        <v>25</v>
      </c>
      <c r="B7" s="5" t="s">
        <v>26</v>
      </c>
      <c r="C7" s="5" t="s">
        <v>29</v>
      </c>
      <c r="D7" s="5" t="n">
        <v>9</v>
      </c>
      <c r="E7" s="5" t="n">
        <v>42</v>
      </c>
      <c r="F7" s="5" t="s">
        <v>28</v>
      </c>
    </row>
    <row r="8" customFormat="false" ht="15" hidden="false" customHeight="false" outlineLevel="0" collapsed="false">
      <c r="A8" s="5" t="s">
        <v>25</v>
      </c>
      <c r="B8" s="5" t="s">
        <v>26</v>
      </c>
      <c r="C8" s="5" t="s">
        <v>29</v>
      </c>
      <c r="D8" s="5" t="n">
        <v>19</v>
      </c>
      <c r="E8" s="5" t="n">
        <v>82</v>
      </c>
      <c r="F8" s="5" t="s">
        <v>28</v>
      </c>
    </row>
    <row r="9" customFormat="false" ht="15" hidden="false" customHeight="false" outlineLevel="0" collapsed="false">
      <c r="A9" s="5" t="s">
        <v>25</v>
      </c>
      <c r="B9" s="5" t="s">
        <v>26</v>
      </c>
      <c r="C9" s="5" t="s">
        <v>29</v>
      </c>
      <c r="D9" s="5" t="n">
        <v>26</v>
      </c>
      <c r="E9" s="5" t="n">
        <v>111</v>
      </c>
      <c r="F9" s="5" t="s">
        <v>28</v>
      </c>
    </row>
    <row r="10" customFormat="false" ht="15" hidden="false" customHeight="false" outlineLevel="0" collapsed="false">
      <c r="A10" s="5" t="s">
        <v>25</v>
      </c>
      <c r="B10" s="5" t="s">
        <v>26</v>
      </c>
      <c r="C10" s="5" t="s">
        <v>30</v>
      </c>
      <c r="D10" s="5" t="n">
        <v>0</v>
      </c>
      <c r="E10" s="5" t="n">
        <v>13</v>
      </c>
      <c r="F10" s="5" t="s">
        <v>28</v>
      </c>
    </row>
    <row r="11" customFormat="false" ht="15" hidden="false" customHeight="false" outlineLevel="0" collapsed="false">
      <c r="A11" s="5" t="s">
        <v>25</v>
      </c>
      <c r="B11" s="5" t="s">
        <v>26</v>
      </c>
      <c r="C11" s="5" t="s">
        <v>30</v>
      </c>
      <c r="D11" s="5" t="n">
        <v>9</v>
      </c>
      <c r="E11" s="5" t="n">
        <v>40</v>
      </c>
      <c r="F11" s="5" t="s">
        <v>28</v>
      </c>
    </row>
    <row r="12" customFormat="false" ht="15" hidden="false" customHeight="false" outlineLevel="0" collapsed="false">
      <c r="A12" s="5" t="s">
        <v>25</v>
      </c>
      <c r="B12" s="5" t="s">
        <v>26</v>
      </c>
      <c r="C12" s="5" t="s">
        <v>30</v>
      </c>
      <c r="D12" s="5" t="n">
        <v>19</v>
      </c>
      <c r="E12" s="5" t="n">
        <v>81</v>
      </c>
      <c r="F12" s="5" t="s">
        <v>28</v>
      </c>
    </row>
    <row r="13" customFormat="false" ht="15" hidden="false" customHeight="false" outlineLevel="0" collapsed="false">
      <c r="A13" s="5" t="s">
        <v>25</v>
      </c>
      <c r="B13" s="5" t="s">
        <v>26</v>
      </c>
      <c r="C13" s="5" t="s">
        <v>30</v>
      </c>
      <c r="D13" s="5" t="n">
        <v>26</v>
      </c>
      <c r="E13" s="5" t="n">
        <v>109</v>
      </c>
      <c r="F13" s="5" t="s">
        <v>28</v>
      </c>
    </row>
    <row r="14" customFormat="false" ht="15" hidden="false" customHeight="false" outlineLevel="0" collapsed="false">
      <c r="A14" s="5" t="s">
        <v>25</v>
      </c>
      <c r="B14" s="5" t="s">
        <v>26</v>
      </c>
      <c r="C14" s="5" t="s">
        <v>31</v>
      </c>
      <c r="D14" s="5" t="n">
        <v>0</v>
      </c>
      <c r="E14" s="5" t="n">
        <v>11</v>
      </c>
      <c r="F14" s="5" t="s">
        <v>28</v>
      </c>
    </row>
    <row r="15" customFormat="false" ht="15" hidden="false" customHeight="false" outlineLevel="0" collapsed="false">
      <c r="A15" s="5" t="s">
        <v>25</v>
      </c>
      <c r="B15" s="5" t="s">
        <v>26</v>
      </c>
      <c r="C15" s="5" t="s">
        <v>31</v>
      </c>
      <c r="D15" s="5" t="n">
        <v>9</v>
      </c>
      <c r="E15" s="5" t="n">
        <v>43</v>
      </c>
      <c r="F15" s="5" t="s">
        <v>28</v>
      </c>
    </row>
    <row r="16" customFormat="false" ht="15" hidden="false" customHeight="false" outlineLevel="0" collapsed="false">
      <c r="A16" s="5" t="s">
        <v>25</v>
      </c>
      <c r="B16" s="5" t="s">
        <v>26</v>
      </c>
      <c r="C16" s="5" t="s">
        <v>31</v>
      </c>
      <c r="D16" s="5" t="n">
        <v>19</v>
      </c>
      <c r="E16" s="5" t="n">
        <v>88</v>
      </c>
      <c r="F16" s="5" t="s">
        <v>28</v>
      </c>
    </row>
    <row r="17" customFormat="false" ht="15" hidden="false" customHeight="false" outlineLevel="0" collapsed="false">
      <c r="A17" s="5" t="s">
        <v>25</v>
      </c>
      <c r="B17" s="5" t="s">
        <v>26</v>
      </c>
      <c r="C17" s="5" t="s">
        <v>31</v>
      </c>
      <c r="D17" s="5" t="n">
        <v>26</v>
      </c>
      <c r="E17" s="5" t="n">
        <v>116</v>
      </c>
      <c r="F17" s="5" t="s">
        <v>28</v>
      </c>
    </row>
    <row r="18" customFormat="false" ht="15" hidden="false" customHeight="false" outlineLevel="0" collapsed="false">
      <c r="A18" s="5" t="s">
        <v>25</v>
      </c>
      <c r="B18" s="5" t="s">
        <v>26</v>
      </c>
      <c r="C18" s="5" t="s">
        <v>32</v>
      </c>
      <c r="D18" s="5" t="n">
        <v>0</v>
      </c>
      <c r="E18" s="5" t="n">
        <v>17</v>
      </c>
      <c r="F18" s="5" t="s">
        <v>28</v>
      </c>
    </row>
    <row r="19" customFormat="false" ht="15" hidden="false" customHeight="false" outlineLevel="0" collapsed="false">
      <c r="A19" s="5" t="s">
        <v>25</v>
      </c>
      <c r="B19" s="5" t="s">
        <v>26</v>
      </c>
      <c r="C19" s="5" t="s">
        <v>32</v>
      </c>
      <c r="D19" s="5" t="n">
        <v>9</v>
      </c>
      <c r="E19" s="5" t="n">
        <v>43</v>
      </c>
      <c r="F19" s="5" t="s">
        <v>28</v>
      </c>
    </row>
    <row r="20" customFormat="false" ht="15" hidden="false" customHeight="false" outlineLevel="0" collapsed="false">
      <c r="A20" s="5" t="s">
        <v>25</v>
      </c>
      <c r="B20" s="5" t="s">
        <v>26</v>
      </c>
      <c r="C20" s="5" t="s">
        <v>32</v>
      </c>
      <c r="D20" s="5" t="n">
        <v>19</v>
      </c>
      <c r="E20" s="5" t="n">
        <v>86</v>
      </c>
      <c r="F20" s="5" t="s">
        <v>28</v>
      </c>
    </row>
    <row r="21" customFormat="false" ht="15" hidden="false" customHeight="false" outlineLevel="0" collapsed="false">
      <c r="A21" s="5" t="s">
        <v>25</v>
      </c>
      <c r="B21" s="5" t="s">
        <v>26</v>
      </c>
      <c r="C21" s="5" t="s">
        <v>32</v>
      </c>
      <c r="D21" s="5" t="n">
        <v>26</v>
      </c>
      <c r="E21" s="5" t="n">
        <v>114</v>
      </c>
      <c r="F21" s="5" t="s">
        <v>28</v>
      </c>
    </row>
    <row r="22" customFormat="false" ht="15" hidden="false" customHeight="false" outlineLevel="0" collapsed="false">
      <c r="A22" s="5" t="s">
        <v>25</v>
      </c>
      <c r="B22" s="5" t="s">
        <v>26</v>
      </c>
      <c r="C22" s="5" t="s">
        <v>33</v>
      </c>
      <c r="D22" s="5" t="n">
        <v>0</v>
      </c>
      <c r="E22" s="5" t="n">
        <v>13</v>
      </c>
      <c r="F22" s="5" t="s">
        <v>28</v>
      </c>
    </row>
    <row r="23" customFormat="false" ht="15" hidden="false" customHeight="false" outlineLevel="0" collapsed="false">
      <c r="A23" s="5" t="s">
        <v>25</v>
      </c>
      <c r="B23" s="5" t="s">
        <v>26</v>
      </c>
      <c r="C23" s="5" t="s">
        <v>33</v>
      </c>
      <c r="D23" s="5" t="n">
        <v>9</v>
      </c>
      <c r="E23" s="5" t="n">
        <v>43</v>
      </c>
      <c r="F23" s="5" t="s">
        <v>28</v>
      </c>
    </row>
    <row r="24" customFormat="false" ht="15" hidden="false" customHeight="false" outlineLevel="0" collapsed="false">
      <c r="A24" s="5" t="s">
        <v>25</v>
      </c>
      <c r="B24" s="5" t="s">
        <v>26</v>
      </c>
      <c r="C24" s="5" t="s">
        <v>33</v>
      </c>
      <c r="D24" s="5" t="n">
        <v>19</v>
      </c>
      <c r="E24" s="5" t="n">
        <v>87</v>
      </c>
      <c r="F24" s="5" t="s">
        <v>28</v>
      </c>
    </row>
    <row r="25" customFormat="false" ht="15" hidden="false" customHeight="false" outlineLevel="0" collapsed="false">
      <c r="A25" s="5" t="s">
        <v>25</v>
      </c>
      <c r="B25" s="5" t="s">
        <v>26</v>
      </c>
      <c r="C25" s="5" t="s">
        <v>33</v>
      </c>
      <c r="D25" s="5" t="n">
        <v>26</v>
      </c>
      <c r="E25" s="5" t="n">
        <v>116</v>
      </c>
      <c r="F25" s="5" t="s">
        <v>28</v>
      </c>
    </row>
    <row r="26" customFormat="false" ht="15" hidden="false" customHeight="false" outlineLevel="0" collapsed="false">
      <c r="A26" s="5" t="s">
        <v>25</v>
      </c>
      <c r="B26" s="5" t="s">
        <v>26</v>
      </c>
      <c r="C26" s="5" t="s">
        <v>34</v>
      </c>
      <c r="D26" s="5" t="n">
        <v>0</v>
      </c>
      <c r="E26" s="5" t="n">
        <v>13</v>
      </c>
      <c r="F26" s="5" t="s">
        <v>28</v>
      </c>
    </row>
    <row r="27" customFormat="false" ht="15" hidden="false" customHeight="false" outlineLevel="0" collapsed="false">
      <c r="A27" s="5" t="s">
        <v>25</v>
      </c>
      <c r="B27" s="5" t="s">
        <v>26</v>
      </c>
      <c r="C27" s="5" t="s">
        <v>34</v>
      </c>
      <c r="D27" s="5" t="n">
        <v>9</v>
      </c>
      <c r="E27" s="5" t="n">
        <v>48</v>
      </c>
      <c r="F27" s="5" t="s">
        <v>28</v>
      </c>
    </row>
    <row r="28" customFormat="false" ht="15" hidden="false" customHeight="false" outlineLevel="0" collapsed="false">
      <c r="A28" s="5" t="s">
        <v>25</v>
      </c>
      <c r="B28" s="5" t="s">
        <v>26</v>
      </c>
      <c r="C28" s="5" t="s">
        <v>34</v>
      </c>
      <c r="D28" s="5" t="n">
        <v>19</v>
      </c>
      <c r="E28" s="5" t="n">
        <v>90</v>
      </c>
      <c r="F28" s="5" t="s">
        <v>28</v>
      </c>
    </row>
    <row r="29" customFormat="false" ht="15" hidden="false" customHeight="false" outlineLevel="0" collapsed="false">
      <c r="A29" s="5" t="s">
        <v>25</v>
      </c>
      <c r="B29" s="5" t="s">
        <v>26</v>
      </c>
      <c r="C29" s="5" t="s">
        <v>34</v>
      </c>
      <c r="D29" s="5" t="n">
        <v>26</v>
      </c>
      <c r="E29" s="5" t="n">
        <v>117</v>
      </c>
      <c r="F29" s="5" t="s">
        <v>28</v>
      </c>
    </row>
    <row r="30" customFormat="false" ht="15" hidden="false" customHeight="false" outlineLevel="0" collapsed="false">
      <c r="A30" s="5" t="s">
        <v>35</v>
      </c>
      <c r="B30" s="5" t="s">
        <v>36</v>
      </c>
      <c r="C30" s="5" t="s">
        <v>27</v>
      </c>
      <c r="D30" s="5" t="n">
        <v>9</v>
      </c>
      <c r="E30" s="5" t="n">
        <v>5.5</v>
      </c>
      <c r="F30" s="5" t="s">
        <v>28</v>
      </c>
    </row>
    <row r="31" customFormat="false" ht="15" hidden="false" customHeight="false" outlineLevel="0" collapsed="false">
      <c r="A31" s="5" t="s">
        <v>35</v>
      </c>
      <c r="B31" s="5" t="s">
        <v>36</v>
      </c>
      <c r="C31" s="5" t="s">
        <v>27</v>
      </c>
      <c r="D31" s="5" t="n">
        <v>19</v>
      </c>
      <c r="E31" s="5" t="n">
        <v>22.7</v>
      </c>
      <c r="F31" s="5" t="s">
        <v>28</v>
      </c>
    </row>
    <row r="32" customFormat="false" ht="15" hidden="false" customHeight="false" outlineLevel="0" collapsed="false">
      <c r="A32" s="5" t="s">
        <v>35</v>
      </c>
      <c r="B32" s="5" t="s">
        <v>36</v>
      </c>
      <c r="C32" s="5" t="s">
        <v>27</v>
      </c>
      <c r="D32" s="5" t="n">
        <v>26</v>
      </c>
      <c r="E32" s="5" t="n">
        <v>24.1</v>
      </c>
      <c r="F32" s="5" t="s">
        <v>28</v>
      </c>
    </row>
    <row r="33" customFormat="false" ht="15" hidden="false" customHeight="false" outlineLevel="0" collapsed="false">
      <c r="A33" s="5" t="s">
        <v>35</v>
      </c>
      <c r="B33" s="5" t="s">
        <v>36</v>
      </c>
      <c r="C33" s="5" t="s">
        <v>29</v>
      </c>
      <c r="D33" s="5" t="n">
        <v>9</v>
      </c>
      <c r="E33" s="5" t="n">
        <v>7.4</v>
      </c>
      <c r="F33" s="5" t="s">
        <v>28</v>
      </c>
    </row>
    <row r="34" customFormat="false" ht="15" hidden="false" customHeight="false" outlineLevel="0" collapsed="false">
      <c r="A34" s="5" t="s">
        <v>35</v>
      </c>
      <c r="B34" s="5" t="s">
        <v>36</v>
      </c>
      <c r="C34" s="5" t="s">
        <v>29</v>
      </c>
      <c r="D34" s="5" t="n">
        <v>19</v>
      </c>
      <c r="E34" s="5" t="n">
        <v>24.8</v>
      </c>
      <c r="F34" s="5" t="s">
        <v>28</v>
      </c>
    </row>
    <row r="35" customFormat="false" ht="15" hidden="false" customHeight="false" outlineLevel="0" collapsed="false">
      <c r="A35" s="5" t="s">
        <v>35</v>
      </c>
      <c r="B35" s="5" t="s">
        <v>36</v>
      </c>
      <c r="C35" s="5" t="s">
        <v>29</v>
      </c>
      <c r="D35" s="5" t="n">
        <v>26</v>
      </c>
      <c r="E35" s="5" t="n">
        <v>24.4</v>
      </c>
      <c r="F35" s="5" t="s">
        <v>28</v>
      </c>
    </row>
    <row r="36" customFormat="false" ht="15" hidden="false" customHeight="false" outlineLevel="0" collapsed="false">
      <c r="A36" s="5" t="s">
        <v>35</v>
      </c>
      <c r="B36" s="5" t="s">
        <v>36</v>
      </c>
      <c r="C36" s="5" t="s">
        <v>30</v>
      </c>
      <c r="D36" s="5" t="n">
        <v>9</v>
      </c>
      <c r="E36" s="5" t="n">
        <v>6</v>
      </c>
      <c r="F36" s="5" t="s">
        <v>28</v>
      </c>
    </row>
    <row r="37" customFormat="false" ht="15" hidden="false" customHeight="false" outlineLevel="0" collapsed="false">
      <c r="A37" s="5" t="s">
        <v>35</v>
      </c>
      <c r="B37" s="5" t="s">
        <v>36</v>
      </c>
      <c r="C37" s="5" t="s">
        <v>30</v>
      </c>
      <c r="D37" s="5" t="n">
        <v>19</v>
      </c>
      <c r="E37" s="5" t="n">
        <v>24.4</v>
      </c>
      <c r="F37" s="5" t="s">
        <v>28</v>
      </c>
    </row>
    <row r="38" customFormat="false" ht="15" hidden="false" customHeight="false" outlineLevel="0" collapsed="false">
      <c r="A38" s="5" t="s">
        <v>35</v>
      </c>
      <c r="B38" s="5" t="s">
        <v>36</v>
      </c>
      <c r="C38" s="5" t="s">
        <v>30</v>
      </c>
      <c r="D38" s="5" t="n">
        <v>26</v>
      </c>
      <c r="E38" s="5" t="n">
        <v>24.9</v>
      </c>
      <c r="F38" s="5" t="s">
        <v>28</v>
      </c>
    </row>
    <row r="39" customFormat="false" ht="15" hidden="false" customHeight="false" outlineLevel="0" collapsed="false">
      <c r="A39" s="5" t="s">
        <v>35</v>
      </c>
      <c r="B39" s="5" t="s">
        <v>36</v>
      </c>
      <c r="C39" s="5" t="s">
        <v>31</v>
      </c>
      <c r="D39" s="5" t="n">
        <v>9</v>
      </c>
      <c r="E39" s="5" t="n">
        <v>7.5</v>
      </c>
      <c r="F39" s="5" t="s">
        <v>28</v>
      </c>
    </row>
    <row r="40" customFormat="false" ht="15" hidden="false" customHeight="false" outlineLevel="0" collapsed="false">
      <c r="A40" s="5" t="s">
        <v>35</v>
      </c>
      <c r="B40" s="5" t="s">
        <v>36</v>
      </c>
      <c r="C40" s="5" t="s">
        <v>31</v>
      </c>
      <c r="D40" s="5" t="n">
        <v>19</v>
      </c>
      <c r="E40" s="5" t="n">
        <v>26.7</v>
      </c>
      <c r="F40" s="5" t="s">
        <v>28</v>
      </c>
    </row>
    <row r="41" customFormat="false" ht="15" hidden="false" customHeight="false" outlineLevel="0" collapsed="false">
      <c r="A41" s="5" t="s">
        <v>35</v>
      </c>
      <c r="B41" s="5" t="s">
        <v>36</v>
      </c>
      <c r="C41" s="5" t="s">
        <v>31</v>
      </c>
      <c r="D41" s="5" t="n">
        <v>26</v>
      </c>
      <c r="E41" s="5" t="n">
        <v>26.5</v>
      </c>
      <c r="F41" s="5" t="s">
        <v>28</v>
      </c>
    </row>
    <row r="42" customFormat="false" ht="15" hidden="false" customHeight="false" outlineLevel="0" collapsed="false">
      <c r="A42" s="5" t="s">
        <v>35</v>
      </c>
      <c r="B42" s="5" t="s">
        <v>36</v>
      </c>
      <c r="C42" s="5" t="s">
        <v>32</v>
      </c>
      <c r="D42" s="5" t="n">
        <v>9</v>
      </c>
      <c r="E42" s="5" t="n">
        <v>7.1</v>
      </c>
      <c r="F42" s="5" t="s">
        <v>28</v>
      </c>
    </row>
    <row r="43" customFormat="false" ht="15" hidden="false" customHeight="false" outlineLevel="0" collapsed="false">
      <c r="A43" s="5" t="s">
        <v>35</v>
      </c>
      <c r="B43" s="5" t="s">
        <v>36</v>
      </c>
      <c r="C43" s="5" t="s">
        <v>32</v>
      </c>
      <c r="D43" s="5" t="n">
        <v>19</v>
      </c>
      <c r="E43" s="5" t="n">
        <v>26.6</v>
      </c>
      <c r="F43" s="5" t="s">
        <v>28</v>
      </c>
    </row>
    <row r="44" customFormat="false" ht="15" hidden="false" customHeight="false" outlineLevel="0" collapsed="false">
      <c r="A44" s="5" t="s">
        <v>35</v>
      </c>
      <c r="B44" s="5" t="s">
        <v>36</v>
      </c>
      <c r="C44" s="5" t="s">
        <v>32</v>
      </c>
      <c r="D44" s="5" t="n">
        <v>26</v>
      </c>
      <c r="E44" s="5" t="n">
        <v>25.2</v>
      </c>
      <c r="F44" s="5" t="s">
        <v>28</v>
      </c>
    </row>
    <row r="45" customFormat="false" ht="15" hidden="false" customHeight="false" outlineLevel="0" collapsed="false">
      <c r="A45" s="5" t="s">
        <v>35</v>
      </c>
      <c r="B45" s="5" t="s">
        <v>36</v>
      </c>
      <c r="C45" s="5" t="s">
        <v>33</v>
      </c>
      <c r="D45" s="5" t="n">
        <v>9</v>
      </c>
      <c r="E45" s="5" t="n">
        <v>8.2</v>
      </c>
      <c r="F45" s="5" t="s">
        <v>28</v>
      </c>
    </row>
    <row r="46" customFormat="false" ht="15" hidden="false" customHeight="false" outlineLevel="0" collapsed="false">
      <c r="A46" s="5" t="s">
        <v>35</v>
      </c>
      <c r="B46" s="5" t="s">
        <v>36</v>
      </c>
      <c r="C46" s="5" t="s">
        <v>33</v>
      </c>
      <c r="D46" s="5" t="n">
        <v>19</v>
      </c>
      <c r="E46" s="5" t="n">
        <v>27</v>
      </c>
      <c r="F46" s="5" t="s">
        <v>28</v>
      </c>
    </row>
    <row r="47" customFormat="false" ht="15" hidden="false" customHeight="false" outlineLevel="0" collapsed="false">
      <c r="A47" s="5" t="s">
        <v>35</v>
      </c>
      <c r="B47" s="5" t="s">
        <v>36</v>
      </c>
      <c r="C47" s="5" t="s">
        <v>33</v>
      </c>
      <c r="D47" s="5" t="n">
        <v>26</v>
      </c>
      <c r="E47" s="5" t="n">
        <v>26.6</v>
      </c>
      <c r="F47" s="5" t="s">
        <v>28</v>
      </c>
    </row>
    <row r="48" customFormat="false" ht="15" hidden="false" customHeight="false" outlineLevel="0" collapsed="false">
      <c r="A48" s="5" t="s">
        <v>35</v>
      </c>
      <c r="B48" s="5" t="s">
        <v>36</v>
      </c>
      <c r="C48" s="5" t="s">
        <v>34</v>
      </c>
      <c r="D48" s="5" t="n">
        <v>9</v>
      </c>
      <c r="E48" s="5" t="n">
        <v>8.7</v>
      </c>
      <c r="F48" s="5" t="s">
        <v>28</v>
      </c>
    </row>
    <row r="49" customFormat="false" ht="15" hidden="false" customHeight="false" outlineLevel="0" collapsed="false">
      <c r="A49" s="5" t="s">
        <v>35</v>
      </c>
      <c r="B49" s="5" t="s">
        <v>36</v>
      </c>
      <c r="C49" s="5" t="s">
        <v>34</v>
      </c>
      <c r="D49" s="5" t="n">
        <v>19</v>
      </c>
      <c r="E49" s="5" t="n">
        <v>27.6</v>
      </c>
      <c r="F49" s="5" t="s">
        <v>28</v>
      </c>
    </row>
    <row r="50" customFormat="false" ht="15" hidden="false" customHeight="false" outlineLevel="0" collapsed="false">
      <c r="A50" s="5" t="s">
        <v>35</v>
      </c>
      <c r="B50" s="5" t="s">
        <v>36</v>
      </c>
      <c r="C50" s="5" t="s">
        <v>34</v>
      </c>
      <c r="D50" s="5" t="n">
        <v>26</v>
      </c>
      <c r="E50" s="5" t="n">
        <v>26.2</v>
      </c>
      <c r="F50" s="5" t="s">
        <v>28</v>
      </c>
    </row>
    <row r="51" customFormat="false" ht="15" hidden="false" customHeight="false" outlineLevel="0" collapsed="false">
      <c r="A51" s="5" t="s">
        <v>37</v>
      </c>
      <c r="B51" s="5" t="s">
        <v>26</v>
      </c>
      <c r="C51" s="5" t="s">
        <v>27</v>
      </c>
      <c r="D51" s="5" t="n">
        <v>9</v>
      </c>
      <c r="E51" s="5" t="n">
        <v>22</v>
      </c>
      <c r="F51" s="5" t="s">
        <v>28</v>
      </c>
    </row>
    <row r="52" customFormat="false" ht="15" hidden="false" customHeight="false" outlineLevel="0" collapsed="false">
      <c r="A52" s="5" t="s">
        <v>37</v>
      </c>
      <c r="B52" s="5" t="s">
        <v>26</v>
      </c>
      <c r="C52" s="5" t="s">
        <v>27</v>
      </c>
      <c r="D52" s="5" t="n">
        <v>19</v>
      </c>
      <c r="E52" s="5" t="n">
        <v>71</v>
      </c>
      <c r="F52" s="5" t="s">
        <v>28</v>
      </c>
    </row>
    <row r="53" customFormat="false" ht="15" hidden="false" customHeight="false" outlineLevel="0" collapsed="false">
      <c r="A53" s="5" t="s">
        <v>37</v>
      </c>
      <c r="B53" s="5" t="s">
        <v>26</v>
      </c>
      <c r="C53" s="5" t="s">
        <v>27</v>
      </c>
      <c r="D53" s="5" t="n">
        <v>26</v>
      </c>
      <c r="E53" s="5" t="n">
        <v>103</v>
      </c>
      <c r="F53" s="5" t="s">
        <v>28</v>
      </c>
    </row>
    <row r="54" customFormat="false" ht="15" hidden="false" customHeight="false" outlineLevel="0" collapsed="false">
      <c r="A54" s="5" t="s">
        <v>37</v>
      </c>
      <c r="B54" s="5" t="s">
        <v>26</v>
      </c>
      <c r="C54" s="5" t="s">
        <v>29</v>
      </c>
      <c r="D54" s="5" t="n">
        <v>9</v>
      </c>
      <c r="E54" s="5" t="n">
        <v>26</v>
      </c>
      <c r="F54" s="5" t="s">
        <v>28</v>
      </c>
    </row>
    <row r="55" customFormat="false" ht="15" hidden="false" customHeight="false" outlineLevel="0" collapsed="false">
      <c r="A55" s="5" t="s">
        <v>37</v>
      </c>
      <c r="B55" s="5" t="s">
        <v>26</v>
      </c>
      <c r="C55" s="5" t="s">
        <v>29</v>
      </c>
      <c r="D55" s="5" t="n">
        <v>19</v>
      </c>
      <c r="E55" s="5" t="n">
        <v>76</v>
      </c>
      <c r="F55" s="5" t="s">
        <v>28</v>
      </c>
    </row>
    <row r="56" customFormat="false" ht="15" hidden="false" customHeight="false" outlineLevel="0" collapsed="false">
      <c r="A56" s="5" t="s">
        <v>37</v>
      </c>
      <c r="B56" s="5" t="s">
        <v>26</v>
      </c>
      <c r="C56" s="5" t="s">
        <v>29</v>
      </c>
      <c r="D56" s="5" t="n">
        <v>26</v>
      </c>
      <c r="E56" s="5" t="n">
        <v>108</v>
      </c>
      <c r="F56" s="5" t="s">
        <v>28</v>
      </c>
    </row>
    <row r="57" customFormat="false" ht="15" hidden="false" customHeight="false" outlineLevel="0" collapsed="false">
      <c r="A57" s="5" t="s">
        <v>37</v>
      </c>
      <c r="B57" s="5" t="s">
        <v>26</v>
      </c>
      <c r="C57" s="5" t="s">
        <v>30</v>
      </c>
      <c r="D57" s="5" t="n">
        <v>9</v>
      </c>
      <c r="E57" s="5" t="n">
        <v>25</v>
      </c>
      <c r="F57" s="5" t="s">
        <v>28</v>
      </c>
    </row>
    <row r="58" customFormat="false" ht="15" hidden="false" customHeight="false" outlineLevel="0" collapsed="false">
      <c r="A58" s="5" t="s">
        <v>37</v>
      </c>
      <c r="B58" s="5" t="s">
        <v>26</v>
      </c>
      <c r="C58" s="5" t="s">
        <v>30</v>
      </c>
      <c r="D58" s="5" t="n">
        <v>19</v>
      </c>
      <c r="E58" s="5" t="n">
        <v>77</v>
      </c>
      <c r="F58" s="5" t="s">
        <v>28</v>
      </c>
    </row>
    <row r="59" customFormat="false" ht="15" hidden="false" customHeight="false" outlineLevel="0" collapsed="false">
      <c r="A59" s="5" t="s">
        <v>37</v>
      </c>
      <c r="B59" s="5" t="s">
        <v>26</v>
      </c>
      <c r="C59" s="5" t="s">
        <v>30</v>
      </c>
      <c r="D59" s="5" t="n">
        <v>26</v>
      </c>
      <c r="E59" s="5" t="n">
        <v>106</v>
      </c>
      <c r="F59" s="5" t="s">
        <v>28</v>
      </c>
    </row>
    <row r="60" customFormat="false" ht="15" hidden="false" customHeight="false" outlineLevel="0" collapsed="false">
      <c r="A60" s="5" t="s">
        <v>37</v>
      </c>
      <c r="B60" s="5" t="s">
        <v>26</v>
      </c>
      <c r="C60" s="5" t="s">
        <v>31</v>
      </c>
      <c r="D60" s="5" t="n">
        <v>9</v>
      </c>
      <c r="E60" s="5" t="n">
        <v>27</v>
      </c>
      <c r="F60" s="5" t="s">
        <v>28</v>
      </c>
    </row>
    <row r="61" customFormat="false" ht="15" hidden="false" customHeight="false" outlineLevel="0" collapsed="false">
      <c r="A61" s="5" t="s">
        <v>37</v>
      </c>
      <c r="B61" s="5" t="s">
        <v>26</v>
      </c>
      <c r="C61" s="5" t="s">
        <v>31</v>
      </c>
      <c r="D61" s="5" t="n">
        <v>19</v>
      </c>
      <c r="E61" s="5" t="n">
        <v>85</v>
      </c>
      <c r="F61" s="5" t="s">
        <v>28</v>
      </c>
    </row>
    <row r="62" customFormat="false" ht="15" hidden="false" customHeight="false" outlineLevel="0" collapsed="false">
      <c r="A62" s="5" t="s">
        <v>37</v>
      </c>
      <c r="B62" s="5" t="s">
        <v>26</v>
      </c>
      <c r="C62" s="5" t="s">
        <v>31</v>
      </c>
      <c r="D62" s="5" t="n">
        <v>26</v>
      </c>
      <c r="E62" s="5" t="n">
        <v>111</v>
      </c>
      <c r="F62" s="5" t="s">
        <v>28</v>
      </c>
    </row>
    <row r="63" customFormat="false" ht="15" hidden="false" customHeight="false" outlineLevel="0" collapsed="false">
      <c r="A63" s="5" t="s">
        <v>37</v>
      </c>
      <c r="B63" s="5" t="s">
        <v>26</v>
      </c>
      <c r="C63" s="5" t="s">
        <v>32</v>
      </c>
      <c r="D63" s="5" t="n">
        <v>9</v>
      </c>
      <c r="E63" s="5" t="n">
        <v>26</v>
      </c>
      <c r="F63" s="5" t="s">
        <v>28</v>
      </c>
    </row>
    <row r="64" customFormat="false" ht="15" hidden="false" customHeight="false" outlineLevel="0" collapsed="false">
      <c r="A64" s="5" t="s">
        <v>37</v>
      </c>
      <c r="B64" s="5" t="s">
        <v>26</v>
      </c>
      <c r="C64" s="5" t="s">
        <v>32</v>
      </c>
      <c r="D64" s="5" t="n">
        <v>19</v>
      </c>
      <c r="E64" s="5" t="n">
        <v>85</v>
      </c>
      <c r="F64" s="5" t="s">
        <v>28</v>
      </c>
    </row>
    <row r="65" customFormat="false" ht="15" hidden="false" customHeight="false" outlineLevel="0" collapsed="false">
      <c r="A65" s="5" t="s">
        <v>37</v>
      </c>
      <c r="B65" s="5" t="s">
        <v>26</v>
      </c>
      <c r="C65" s="5" t="s">
        <v>32</v>
      </c>
      <c r="D65" s="5" t="n">
        <v>26</v>
      </c>
      <c r="E65" s="5" t="n">
        <v>116</v>
      </c>
      <c r="F65" s="5" t="s">
        <v>28</v>
      </c>
    </row>
    <row r="66" customFormat="false" ht="15" hidden="false" customHeight="false" outlineLevel="0" collapsed="false">
      <c r="A66" s="5" t="s">
        <v>37</v>
      </c>
      <c r="B66" s="5" t="s">
        <v>26</v>
      </c>
      <c r="C66" s="5" t="s">
        <v>33</v>
      </c>
      <c r="D66" s="5" t="n">
        <v>9</v>
      </c>
      <c r="E66" s="5" t="n">
        <v>30</v>
      </c>
      <c r="F66" s="5" t="s">
        <v>28</v>
      </c>
    </row>
    <row r="67" customFormat="false" ht="15" hidden="false" customHeight="false" outlineLevel="0" collapsed="false">
      <c r="A67" s="5" t="s">
        <v>37</v>
      </c>
      <c r="B67" s="5" t="s">
        <v>26</v>
      </c>
      <c r="C67" s="5" t="s">
        <v>33</v>
      </c>
      <c r="D67" s="5" t="n">
        <v>19</v>
      </c>
      <c r="E67" s="5" t="n">
        <v>87</v>
      </c>
      <c r="F67" s="5" t="s">
        <v>28</v>
      </c>
    </row>
    <row r="68" customFormat="false" ht="15" hidden="false" customHeight="false" outlineLevel="0" collapsed="false">
      <c r="A68" s="5" t="s">
        <v>37</v>
      </c>
      <c r="B68" s="5" t="s">
        <v>26</v>
      </c>
      <c r="C68" s="5" t="s">
        <v>33</v>
      </c>
      <c r="D68" s="5" t="n">
        <v>26</v>
      </c>
      <c r="E68" s="5" t="n">
        <v>117</v>
      </c>
      <c r="F68" s="5" t="s">
        <v>28</v>
      </c>
    </row>
    <row r="69" customFormat="false" ht="15" hidden="false" customHeight="false" outlineLevel="0" collapsed="false">
      <c r="A69" s="5" t="s">
        <v>37</v>
      </c>
      <c r="B69" s="5" t="s">
        <v>26</v>
      </c>
      <c r="C69" s="5" t="s">
        <v>34</v>
      </c>
      <c r="D69" s="5" t="n">
        <v>9</v>
      </c>
      <c r="E69" s="5" t="n">
        <v>30</v>
      </c>
      <c r="F69" s="5" t="s">
        <v>28</v>
      </c>
    </row>
    <row r="70" customFormat="false" ht="15" hidden="false" customHeight="false" outlineLevel="0" collapsed="false">
      <c r="A70" s="5" t="s">
        <v>37</v>
      </c>
      <c r="B70" s="5" t="s">
        <v>26</v>
      </c>
      <c r="C70" s="5" t="s">
        <v>34</v>
      </c>
      <c r="D70" s="5" t="n">
        <v>19</v>
      </c>
      <c r="E70" s="5" t="n">
        <v>89</v>
      </c>
      <c r="F70" s="5" t="s">
        <v>28</v>
      </c>
    </row>
    <row r="71" customFormat="false" ht="15" hidden="false" customHeight="false" outlineLevel="0" collapsed="false">
      <c r="A71" s="5" t="s">
        <v>37</v>
      </c>
      <c r="B71" s="5" t="s">
        <v>26</v>
      </c>
      <c r="C71" s="5" t="s">
        <v>34</v>
      </c>
      <c r="D71" s="5" t="n">
        <v>26</v>
      </c>
      <c r="E71" s="5" t="n">
        <v>115</v>
      </c>
      <c r="F71" s="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9"/>
    <col collapsed="false" customWidth="true" hidden="false" outlineLevel="0" max="8" min="6" style="0" width="20"/>
  </cols>
  <sheetData>
    <row r="1" customFormat="false" ht="15" hidden="false" customHeight="false" outlineLevel="0" collapsed="false">
      <c r="A1" s="6" t="s">
        <v>38</v>
      </c>
    </row>
    <row r="3" customFormat="false" ht="31.5" hidden="false" customHeight="true" outlineLevel="0" collapsed="false">
      <c r="A3" s="4" t="s">
        <v>39</v>
      </c>
      <c r="B3" s="4" t="s">
        <v>40</v>
      </c>
      <c r="C3" s="4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4" t="s">
        <v>46</v>
      </c>
    </row>
    <row r="4" customFormat="false" ht="15" hidden="false" customHeight="false" outlineLevel="0" collapsed="false">
      <c r="A4" s="5" t="s">
        <v>27</v>
      </c>
      <c r="B4" s="5" t="n">
        <v>10</v>
      </c>
      <c r="C4" s="5" t="n">
        <v>32</v>
      </c>
      <c r="D4" s="5" t="n">
        <v>76</v>
      </c>
      <c r="E4" s="5" t="n">
        <v>106</v>
      </c>
      <c r="F4" s="5"/>
      <c r="G4" s="5"/>
      <c r="H4" s="5"/>
    </row>
    <row r="5" customFormat="false" ht="15" hidden="false" customHeight="false" outlineLevel="0" collapsed="false">
      <c r="A5" s="5" t="s">
        <v>29</v>
      </c>
      <c r="B5" s="5" t="n">
        <v>15</v>
      </c>
      <c r="C5" s="5" t="n">
        <v>42</v>
      </c>
      <c r="D5" s="5" t="n">
        <v>82</v>
      </c>
      <c r="E5" s="5" t="n">
        <v>111</v>
      </c>
      <c r="F5" s="7" t="n">
        <f aca="false">C5/C$4-1</f>
        <v>0.3125</v>
      </c>
      <c r="G5" s="7" t="n">
        <f aca="false">D5/D$4-1</f>
        <v>0.0789473684210527</v>
      </c>
      <c r="H5" s="7" t="n">
        <f aca="false">E5/E$4-1</f>
        <v>0.0471698113207548</v>
      </c>
    </row>
    <row r="6" customFormat="false" ht="15" hidden="false" customHeight="false" outlineLevel="0" collapsed="false">
      <c r="A6" s="5" t="s">
        <v>30</v>
      </c>
      <c r="B6" s="5" t="n">
        <v>13</v>
      </c>
      <c r="C6" s="5" t="n">
        <v>40</v>
      </c>
      <c r="D6" s="5" t="n">
        <v>81</v>
      </c>
      <c r="E6" s="5" t="n">
        <v>109</v>
      </c>
      <c r="F6" s="7" t="n">
        <f aca="false">C6/C$4-1</f>
        <v>0.25</v>
      </c>
      <c r="G6" s="7" t="n">
        <f aca="false">D6/D$4-1</f>
        <v>0.0657894736842106</v>
      </c>
      <c r="H6" s="7" t="n">
        <f aca="false">E6/E$4-1</f>
        <v>0.0283018867924529</v>
      </c>
    </row>
    <row r="7" customFormat="false" ht="15" hidden="false" customHeight="false" outlineLevel="0" collapsed="false">
      <c r="A7" s="5" t="s">
        <v>31</v>
      </c>
      <c r="B7" s="5" t="n">
        <v>11</v>
      </c>
      <c r="C7" s="5" t="n">
        <v>43</v>
      </c>
      <c r="D7" s="5" t="n">
        <v>88</v>
      </c>
      <c r="E7" s="5" t="n">
        <v>116</v>
      </c>
      <c r="F7" s="7" t="n">
        <f aca="false">C7/C$4-1</f>
        <v>0.34375</v>
      </c>
      <c r="G7" s="7" t="n">
        <f aca="false">D7/D$4-1</f>
        <v>0.157894736842105</v>
      </c>
      <c r="H7" s="7" t="n">
        <f aca="false">E7/E$4-1</f>
        <v>0.0943396226415094</v>
      </c>
    </row>
    <row r="8" customFormat="false" ht="15" hidden="false" customHeight="false" outlineLevel="0" collapsed="false">
      <c r="A8" s="5" t="s">
        <v>32</v>
      </c>
      <c r="B8" s="5" t="n">
        <v>17</v>
      </c>
      <c r="C8" s="5" t="n">
        <v>43</v>
      </c>
      <c r="D8" s="5" t="n">
        <v>86</v>
      </c>
      <c r="E8" s="5" t="n">
        <v>114</v>
      </c>
      <c r="F8" s="7" t="n">
        <f aca="false">C8/C$4-1</f>
        <v>0.34375</v>
      </c>
      <c r="G8" s="7" t="n">
        <f aca="false">D8/D$4-1</f>
        <v>0.131578947368421</v>
      </c>
      <c r="H8" s="7" t="n">
        <f aca="false">E8/E$4-1</f>
        <v>0.0754716981132075</v>
      </c>
    </row>
    <row r="9" customFormat="false" ht="15" hidden="false" customHeight="false" outlineLevel="0" collapsed="false">
      <c r="A9" s="5" t="s">
        <v>33</v>
      </c>
      <c r="B9" s="5" t="n">
        <v>13</v>
      </c>
      <c r="C9" s="5" t="n">
        <v>43</v>
      </c>
      <c r="D9" s="5" t="n">
        <v>87</v>
      </c>
      <c r="E9" s="5" t="n">
        <v>116</v>
      </c>
      <c r="F9" s="7" t="n">
        <f aca="false">C9/C$4-1</f>
        <v>0.34375</v>
      </c>
      <c r="G9" s="7" t="n">
        <f aca="false">D9/D$4-1</f>
        <v>0.144736842105263</v>
      </c>
      <c r="H9" s="7" t="n">
        <f aca="false">E9/E$4-1</f>
        <v>0.0943396226415094</v>
      </c>
    </row>
    <row r="10" customFormat="false" ht="15" hidden="false" customHeight="false" outlineLevel="0" collapsed="false">
      <c r="A10" s="5" t="s">
        <v>34</v>
      </c>
      <c r="B10" s="5" t="n">
        <v>13</v>
      </c>
      <c r="C10" s="5" t="n">
        <v>48</v>
      </c>
      <c r="D10" s="5" t="n">
        <v>90</v>
      </c>
      <c r="E10" s="5" t="n">
        <v>117</v>
      </c>
      <c r="F10" s="7" t="n">
        <f aca="false">C10/C$4-1</f>
        <v>0.5</v>
      </c>
      <c r="G10" s="7" t="n">
        <f aca="false">D10/D$4-1</f>
        <v>0.184210526315789</v>
      </c>
      <c r="H10" s="7" t="n">
        <f aca="false">E10/E$4-1</f>
        <v>0.10377358490566</v>
      </c>
    </row>
    <row r="12" customFormat="false" ht="15" hidden="false" customHeight="false" outlineLevel="0" collapsed="false">
      <c r="A12" s="8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2026-09-21T04:02:05Z</dcterms:created>
  <dc:creator>openpyxl</dc:creator>
  <dc:description/>
  <dc:language>en-US</dc:language>
  <cp:lastModifiedBy/>
  <dcterms:modified xsi:type="dcterms:W3CDTF">2026-09-21T04:02:05Z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