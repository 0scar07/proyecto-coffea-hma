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nte" sheetId="1" state="visible" r:id="rId3"/>
    <sheet name="Datos" sheetId="2" state="visible" r:id="rId4"/>
    <sheet name="Efec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<sst xmlns="http://schemas.openxmlformats.org/spreadsheetml/2006/main" count="124" uniqueCount="50">
  <si>
    <t xml:space="preserve">Ficha de la fuente</t>
  </si>
  <si>
    <t xml:space="preserve">Referencia</t>
  </si>
  <si>
    <t xml:space="preserve">Vallejos-Torres G, Espinoza E, Marín-Díaz J, Solis R, Arévalo LA (2021). The role of arbuscular mycorrhizal fungi against root-knot nematode infections in coffee plants. Journal of Soil Science and Plant Nutrition 21:364-373.</t>
  </si>
  <si>
    <t xml:space="preserve">DOI</t>
  </si>
  <si>
    <t xml:space="preserve">10.1007/s42729-020-00366-z</t>
  </si>
  <si>
    <t xml:space="preserve">Para qué sirve</t>
  </si>
  <si>
    <t xml:space="preserve">VALIDACIÓN DEL EFECTO +M frente a −M: comparar dirección y tamaño del efecto de la inoculación con los de tu app, con datos en tabla.</t>
  </si>
  <si>
    <t xml:space="preserve">Diseño</t>
  </si>
  <si>
    <t xml:space="preserve">Café arábica en tres provincias de San Martín (Perú). Factorial 3 suelos × 2 tipos de propagación × 4 consorcios (Do-cat, Mo-cat, Huall-pache y control sin HMA). 24 tratamientos; cada unidad de 6 plantas, 3 repeticiones en bloques (18 plantas por tratamiento). Evaluaciones mensuales durante 4 meses tras el trasplante.</t>
  </si>
  <si>
    <t xml:space="preserve">Origen de los datos</t>
  </si>
  <si>
    <t xml:space="preserve">Tabla 3 del paper: medias por nivel del factor HMA (agrupadas sobre suelos y propagación). El paper no dice a qué mes corresponde la tabla.</t>
  </si>
  <si>
    <t xml:space="preserve">Cuartil de la revista</t>
  </si>
  <si>
    <t xml:space="preserve">Por verificar en Scimago. Aparece como Q1 en un listado de CiteScore de Agronomía.</t>
  </si>
  <si>
    <t xml:space="preserve">Limitaciones</t>
  </si>
  <si>
    <t xml:space="preserve">TODAS las plantas tenían nematodos (incidencia de 100%). El control no estaba libre de micorrizas (colonización 19.37% frente a 27.5-28.5% en los consorcios). Medias agrupadas. Los valores entre paréntesis están rotulados "error estándar", pero son demasiado grandes para serlo con más de 100 plantas por nivel: parecen desviaciones o errores entre bloques. Se desconoce el n exacto por nivel (18 unidades o 108 plantas).</t>
  </si>
  <si>
    <t xml:space="preserve">Hojas</t>
  </si>
  <si>
    <t xml:space="preserve">Datos: formato largo. Efecto: tabla con el % sobre el control calculado con fórmulas.</t>
  </si>
  <si>
    <t xml:space="preserve">tratamiento</t>
  </si>
  <si>
    <t xml:space="preserve">es_control</t>
  </si>
  <si>
    <t xml:space="preserve">variable</t>
  </si>
  <si>
    <t xml:space="preserve">unidad</t>
  </si>
  <si>
    <t xml:space="preserve">media</t>
  </si>
  <si>
    <t xml:space="preserve">valor_entre_parentesis</t>
  </si>
  <si>
    <t xml:space="preserve">rotulo_del_paper</t>
  </si>
  <si>
    <t xml:space="preserve">colonizacion_pct</t>
  </si>
  <si>
    <t xml:space="preserve">Control sin HMA</t>
  </si>
  <si>
    <t xml:space="preserve">sí</t>
  </si>
  <si>
    <t xml:space="preserve">altura</t>
  </si>
  <si>
    <t xml:space="preserve">cm</t>
  </si>
  <si>
    <t xml:space="preserve">error estándar (dudoso)</t>
  </si>
  <si>
    <t xml:space="preserve">numero_ramas</t>
  </si>
  <si>
    <t xml:space="preserve">n</t>
  </si>
  <si>
    <t xml:space="preserve">numero_hojas</t>
  </si>
  <si>
    <t xml:space="preserve">diametro_tallo</t>
  </si>
  <si>
    <t xml:space="preserve">mm</t>
  </si>
  <si>
    <t xml:space="preserve">Huall-pache</t>
  </si>
  <si>
    <t xml:space="preserve">no</t>
  </si>
  <si>
    <t xml:space="preserve">Do-cat</t>
  </si>
  <si>
    <t xml:space="preserve">Mo-cat</t>
  </si>
  <si>
    <t xml:space="preserve">Tabla 3 y % sobre el control sin HMA</t>
  </si>
  <si>
    <t xml:space="preserve">Tratamiento</t>
  </si>
  <si>
    <t xml:space="preserve">Altura (cm)</t>
  </si>
  <si>
    <t xml:space="preserve">(±)</t>
  </si>
  <si>
    <t xml:space="preserve">Ramas</t>
  </si>
  <si>
    <t xml:space="preserve">Diámetro (mm)</t>
  </si>
  <si>
    <t xml:space="preserve">% altura</t>
  </si>
  <si>
    <t xml:space="preserve">% ramas</t>
  </si>
  <si>
    <t xml:space="preserve">% hojas</t>
  </si>
  <si>
    <t xml:space="preserve">% diámetro</t>
  </si>
  <si>
    <t xml:space="preserve">Colonización micorrízica: control 19.37%; Huall-pache 27.94%; Do-cat 27.5%; Mo-cat 28.51%. Incidencia de nematodos: 100% en todos los tratamientos.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</si>
</sst>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47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5C6"/>
      </left>
      <right style="thin">
        <color rgb="FFDDD5C6"/>
      </right>
      <top style="thin">
        <color rgb="FFDDD5C6"/>
      </top>
      <bottom style="thin">
        <color rgb="FFDDD5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5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447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6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18" hidden="false" customHeight="true" outlineLevel="0" collapsed="false">
      <c r="A8" s="2" t="s">
        <v>11</v>
      </c>
      <c r="B8" s="3" t="s">
        <v>12</v>
      </c>
    </row>
    <row r="9" customFormat="false" ht="75" hidden="false" customHeight="true" outlineLevel="0" collapsed="false">
      <c r="A9" s="2" t="s">
        <v>13</v>
      </c>
      <c r="B9" s="3" t="s">
        <v>14</v>
      </c>
    </row>
    <row r="10" customFormat="false" ht="18" hidden="false" customHeight="tru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customFormat="false" ht="15" hidden="false" customHeight="false" outlineLevel="0" collapsed="false">
      <c r="A2" s="5" t="s">
        <v>25</v>
      </c>
      <c r="B2" s="5" t="s">
        <v>26</v>
      </c>
      <c r="C2" s="5" t="s">
        <v>27</v>
      </c>
      <c r="D2" s="5" t="s">
        <v>28</v>
      </c>
      <c r="E2" s="5" t="n">
        <v>28.54</v>
      </c>
      <c r="F2" s="5" t="n">
        <v>6</v>
      </c>
      <c r="G2" s="5" t="s">
        <v>29</v>
      </c>
      <c r="H2" s="5" t="n">
        <v>19.37</v>
      </c>
    </row>
    <row r="3" customFormat="false" ht="15" hidden="false" customHeight="false" outlineLevel="0" collapsed="false">
      <c r="A3" s="5" t="s">
        <v>25</v>
      </c>
      <c r="B3" s="5" t="s">
        <v>26</v>
      </c>
      <c r="C3" s="5" t="s">
        <v>30</v>
      </c>
      <c r="D3" s="5" t="s">
        <v>31</v>
      </c>
      <c r="E3" s="5" t="n">
        <v>3.26</v>
      </c>
      <c r="F3" s="5" t="n">
        <v>0.8</v>
      </c>
      <c r="G3" s="5" t="s">
        <v>29</v>
      </c>
      <c r="H3" s="5" t="n">
        <v>19.37</v>
      </c>
    </row>
    <row r="4" customFormat="false" ht="15" hidden="false" customHeight="false" outlineLevel="0" collapsed="false">
      <c r="A4" s="5" t="s">
        <v>25</v>
      </c>
      <c r="B4" s="5" t="s">
        <v>26</v>
      </c>
      <c r="C4" s="5" t="s">
        <v>32</v>
      </c>
      <c r="D4" s="5" t="s">
        <v>31</v>
      </c>
      <c r="E4" s="5" t="n">
        <v>20.16</v>
      </c>
      <c r="F4" s="5" t="n">
        <v>4.7</v>
      </c>
      <c r="G4" s="5" t="s">
        <v>29</v>
      </c>
      <c r="H4" s="5" t="n">
        <v>19.37</v>
      </c>
    </row>
    <row r="5" customFormat="false" ht="15" hidden="false" customHeight="false" outlineLevel="0" collapsed="false">
      <c r="A5" s="5" t="s">
        <v>25</v>
      </c>
      <c r="B5" s="5" t="s">
        <v>26</v>
      </c>
      <c r="C5" s="5" t="s">
        <v>33</v>
      </c>
      <c r="D5" s="5" t="s">
        <v>34</v>
      </c>
      <c r="E5" s="5" t="n">
        <v>5.31</v>
      </c>
      <c r="F5" s="5" t="n">
        <v>1.1</v>
      </c>
      <c r="G5" s="5" t="s">
        <v>29</v>
      </c>
      <c r="H5" s="5" t="n">
        <v>19.37</v>
      </c>
    </row>
    <row r="6" customFormat="false" ht="15" hidden="false" customHeight="false" outlineLevel="0" collapsed="false">
      <c r="A6" s="5" t="s">
        <v>35</v>
      </c>
      <c r="B6" s="5" t="s">
        <v>36</v>
      </c>
      <c r="C6" s="5" t="s">
        <v>27</v>
      </c>
      <c r="D6" s="5" t="s">
        <v>28</v>
      </c>
      <c r="E6" s="5" t="n">
        <v>33.38</v>
      </c>
      <c r="F6" s="5" t="n">
        <v>4.9</v>
      </c>
      <c r="G6" s="5" t="s">
        <v>29</v>
      </c>
      <c r="H6" s="5" t="n">
        <v>27.94</v>
      </c>
    </row>
    <row r="7" customFormat="false" ht="15" hidden="false" customHeight="false" outlineLevel="0" collapsed="false">
      <c r="A7" s="5" t="s">
        <v>35</v>
      </c>
      <c r="B7" s="5" t="s">
        <v>36</v>
      </c>
      <c r="C7" s="5" t="s">
        <v>30</v>
      </c>
      <c r="D7" s="5" t="s">
        <v>31</v>
      </c>
      <c r="E7" s="5" t="n">
        <v>4.28</v>
      </c>
      <c r="F7" s="5" t="n">
        <v>0.8</v>
      </c>
      <c r="G7" s="5" t="s">
        <v>29</v>
      </c>
      <c r="H7" s="5" t="n">
        <v>27.94</v>
      </c>
    </row>
    <row r="8" customFormat="false" ht="15" hidden="false" customHeight="false" outlineLevel="0" collapsed="false">
      <c r="A8" s="5" t="s">
        <v>35</v>
      </c>
      <c r="B8" s="5" t="s">
        <v>36</v>
      </c>
      <c r="C8" s="5" t="s">
        <v>32</v>
      </c>
      <c r="D8" s="5" t="s">
        <v>31</v>
      </c>
      <c r="E8" s="5" t="n">
        <v>21.62</v>
      </c>
      <c r="F8" s="5" t="n">
        <v>4.9</v>
      </c>
      <c r="G8" s="5" t="s">
        <v>29</v>
      </c>
      <c r="H8" s="5" t="n">
        <v>27.94</v>
      </c>
    </row>
    <row r="9" customFormat="false" ht="15" hidden="false" customHeight="false" outlineLevel="0" collapsed="false">
      <c r="A9" s="5" t="s">
        <v>35</v>
      </c>
      <c r="B9" s="5" t="s">
        <v>36</v>
      </c>
      <c r="C9" s="5" t="s">
        <v>33</v>
      </c>
      <c r="D9" s="5" t="s">
        <v>34</v>
      </c>
      <c r="E9" s="5" t="n">
        <v>6.48</v>
      </c>
      <c r="F9" s="5" t="n">
        <v>0.7</v>
      </c>
      <c r="G9" s="5" t="s">
        <v>29</v>
      </c>
      <c r="H9" s="5" t="n">
        <v>27.94</v>
      </c>
    </row>
    <row r="10" customFormat="false" ht="15" hidden="false" customHeight="false" outlineLevel="0" collapsed="false">
      <c r="A10" s="5" t="s">
        <v>37</v>
      </c>
      <c r="B10" s="5" t="s">
        <v>36</v>
      </c>
      <c r="C10" s="5" t="s">
        <v>27</v>
      </c>
      <c r="D10" s="5" t="s">
        <v>28</v>
      </c>
      <c r="E10" s="5" t="n">
        <v>39.11</v>
      </c>
      <c r="F10" s="5" t="n">
        <v>6.1</v>
      </c>
      <c r="G10" s="5" t="s">
        <v>29</v>
      </c>
      <c r="H10" s="5" t="n">
        <v>27.5</v>
      </c>
    </row>
    <row r="11" customFormat="false" ht="15" hidden="false" customHeight="false" outlineLevel="0" collapsed="false">
      <c r="A11" s="5" t="s">
        <v>37</v>
      </c>
      <c r="B11" s="5" t="s">
        <v>36</v>
      </c>
      <c r="C11" s="5" t="s">
        <v>30</v>
      </c>
      <c r="D11" s="5" t="s">
        <v>31</v>
      </c>
      <c r="E11" s="5" t="n">
        <v>5.94</v>
      </c>
      <c r="F11" s="5" t="n">
        <v>0.9</v>
      </c>
      <c r="G11" s="5" t="s">
        <v>29</v>
      </c>
      <c r="H11" s="5" t="n">
        <v>27.5</v>
      </c>
    </row>
    <row r="12" customFormat="false" ht="15" hidden="false" customHeight="false" outlineLevel="0" collapsed="false">
      <c r="A12" s="5" t="s">
        <v>37</v>
      </c>
      <c r="B12" s="5" t="s">
        <v>36</v>
      </c>
      <c r="C12" s="5" t="s">
        <v>32</v>
      </c>
      <c r="D12" s="5" t="s">
        <v>31</v>
      </c>
      <c r="E12" s="5" t="n">
        <v>33.63</v>
      </c>
      <c r="F12" s="5" t="n">
        <v>6.3</v>
      </c>
      <c r="G12" s="5" t="s">
        <v>29</v>
      </c>
      <c r="H12" s="5" t="n">
        <v>27.5</v>
      </c>
    </row>
    <row r="13" customFormat="false" ht="15" hidden="false" customHeight="false" outlineLevel="0" collapsed="false">
      <c r="A13" s="5" t="s">
        <v>37</v>
      </c>
      <c r="B13" s="5" t="s">
        <v>36</v>
      </c>
      <c r="C13" s="5" t="s">
        <v>33</v>
      </c>
      <c r="D13" s="5" t="s">
        <v>34</v>
      </c>
      <c r="E13" s="5" t="n">
        <v>7.7</v>
      </c>
      <c r="F13" s="5" t="n">
        <v>0.9</v>
      </c>
      <c r="G13" s="5" t="s">
        <v>29</v>
      </c>
      <c r="H13" s="5" t="n">
        <v>27.5</v>
      </c>
    </row>
    <row r="14" customFormat="false" ht="15" hidden="false" customHeight="false" outlineLevel="0" collapsed="false">
      <c r="A14" s="5" t="s">
        <v>38</v>
      </c>
      <c r="B14" s="5" t="s">
        <v>36</v>
      </c>
      <c r="C14" s="5" t="s">
        <v>27</v>
      </c>
      <c r="D14" s="5" t="s">
        <v>28</v>
      </c>
      <c r="E14" s="5" t="n">
        <v>38.72</v>
      </c>
      <c r="F14" s="5" t="n">
        <v>4.5</v>
      </c>
      <c r="G14" s="5" t="s">
        <v>29</v>
      </c>
      <c r="H14" s="5" t="n">
        <v>28.51</v>
      </c>
    </row>
    <row r="15" customFormat="false" ht="15" hidden="false" customHeight="false" outlineLevel="0" collapsed="false">
      <c r="A15" s="5" t="s">
        <v>38</v>
      </c>
      <c r="B15" s="5" t="s">
        <v>36</v>
      </c>
      <c r="C15" s="5" t="s">
        <v>30</v>
      </c>
      <c r="D15" s="5" t="s">
        <v>31</v>
      </c>
      <c r="E15" s="5" t="n">
        <v>5.43</v>
      </c>
      <c r="F15" s="5" t="n">
        <v>0.8</v>
      </c>
      <c r="G15" s="5" t="s">
        <v>29</v>
      </c>
      <c r="H15" s="5" t="n">
        <v>28.51</v>
      </c>
    </row>
    <row r="16" customFormat="false" ht="15" hidden="false" customHeight="false" outlineLevel="0" collapsed="false">
      <c r="A16" s="5" t="s">
        <v>38</v>
      </c>
      <c r="B16" s="5" t="s">
        <v>36</v>
      </c>
      <c r="C16" s="5" t="s">
        <v>32</v>
      </c>
      <c r="D16" s="5" t="s">
        <v>31</v>
      </c>
      <c r="E16" s="5" t="n">
        <v>31.04</v>
      </c>
      <c r="F16" s="5" t="n">
        <v>4.7</v>
      </c>
      <c r="G16" s="5" t="s">
        <v>29</v>
      </c>
      <c r="H16" s="5" t="n">
        <v>28.51</v>
      </c>
    </row>
    <row r="17" customFormat="false" ht="15" hidden="false" customHeight="false" outlineLevel="0" collapsed="false">
      <c r="A17" s="5" t="s">
        <v>38</v>
      </c>
      <c r="B17" s="5" t="s">
        <v>36</v>
      </c>
      <c r="C17" s="5" t="s">
        <v>33</v>
      </c>
      <c r="D17" s="5" t="s">
        <v>34</v>
      </c>
      <c r="E17" s="5" t="n">
        <v>7.86</v>
      </c>
      <c r="F17" s="5" t="n">
        <v>0.9</v>
      </c>
      <c r="G17" s="5" t="s">
        <v>29</v>
      </c>
      <c r="H17" s="5" t="n">
        <v>28.51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2" min="10" style="0" width="10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6" t="s">
        <v>39</v>
      </c>
    </row>
    <row r="3" customFormat="false" ht="31.5" hidden="false" customHeight="true" outlineLevel="0" collapsed="false">
      <c r="A3" s="4" t="s">
        <v>40</v>
      </c>
      <c r="B3" s="4" t="s">
        <v>41</v>
      </c>
      <c r="C3" s="4" t="s">
        <v>42</v>
      </c>
      <c r="D3" s="4" t="s">
        <v>43</v>
      </c>
      <c r="E3" s="4" t="s">
        <v>42</v>
      </c>
      <c r="F3" s="4" t="s">
        <v>15</v>
      </c>
      <c r="G3" s="4" t="s">
        <v>42</v>
      </c>
      <c r="H3" s="4" t="s">
        <v>44</v>
      </c>
      <c r="I3" s="4" t="s">
        <v>42</v>
      </c>
      <c r="J3" s="4" t="s">
        <v>45</v>
      </c>
      <c r="K3" s="4" t="s">
        <v>46</v>
      </c>
      <c r="L3" s="4" t="s">
        <v>47</v>
      </c>
      <c r="M3" s="4" t="s">
        <v>48</v>
      </c>
    </row>
    <row r="4" customFormat="false" ht="15" hidden="false" customHeight="false" outlineLevel="0" collapsed="false">
      <c r="A4" s="5" t="s">
        <v>25</v>
      </c>
      <c r="B4" s="7" t="n">
        <v>28.54</v>
      </c>
      <c r="C4" s="7" t="n">
        <v>6</v>
      </c>
      <c r="D4" s="7" t="n">
        <v>3.26</v>
      </c>
      <c r="E4" s="7" t="n">
        <v>0.8</v>
      </c>
      <c r="F4" s="7" t="n">
        <v>20.16</v>
      </c>
      <c r="G4" s="7" t="n">
        <v>4.7</v>
      </c>
      <c r="H4" s="7" t="n">
        <v>5.31</v>
      </c>
      <c r="I4" s="7" t="n">
        <v>1.1</v>
      </c>
      <c r="J4" s="5"/>
      <c r="K4" s="5"/>
      <c r="L4" s="5"/>
      <c r="M4" s="5"/>
    </row>
    <row r="5" customFormat="false" ht="15" hidden="false" customHeight="false" outlineLevel="0" collapsed="false">
      <c r="A5" s="5" t="s">
        <v>35</v>
      </c>
      <c r="B5" s="7" t="n">
        <v>33.38</v>
      </c>
      <c r="C5" s="7" t="n">
        <v>4.9</v>
      </c>
      <c r="D5" s="7" t="n">
        <v>4.28</v>
      </c>
      <c r="E5" s="7" t="n">
        <v>0.8</v>
      </c>
      <c r="F5" s="7" t="n">
        <v>21.62</v>
      </c>
      <c r="G5" s="7" t="n">
        <v>4.9</v>
      </c>
      <c r="H5" s="7" t="n">
        <v>6.48</v>
      </c>
      <c r="I5" s="7" t="n">
        <v>0.7</v>
      </c>
      <c r="J5" s="8" t="n">
        <f aca="false">B5/B$4-1</f>
        <v>0.16958654519972</v>
      </c>
      <c r="K5" s="8" t="n">
        <f aca="false">D5/D$4-1</f>
        <v>0.312883435582822</v>
      </c>
      <c r="L5" s="8" t="n">
        <f aca="false">F5/F$4-1</f>
        <v>0.0724206349206349</v>
      </c>
      <c r="M5" s="8" t="n">
        <f aca="false">H5/H$4-1</f>
        <v>0.220338983050848</v>
      </c>
    </row>
    <row r="6" customFormat="false" ht="15" hidden="false" customHeight="false" outlineLevel="0" collapsed="false">
      <c r="A6" s="5" t="s">
        <v>37</v>
      </c>
      <c r="B6" s="7" t="n">
        <v>39.11</v>
      </c>
      <c r="C6" s="7" t="n">
        <v>6.1</v>
      </c>
      <c r="D6" s="7" t="n">
        <v>5.94</v>
      </c>
      <c r="E6" s="7" t="n">
        <v>0.9</v>
      </c>
      <c r="F6" s="7" t="n">
        <v>33.63</v>
      </c>
      <c r="G6" s="7" t="n">
        <v>6.3</v>
      </c>
      <c r="H6" s="7" t="n">
        <v>7.7</v>
      </c>
      <c r="I6" s="7" t="n">
        <v>0.9</v>
      </c>
      <c r="J6" s="8" t="n">
        <f aca="false">B6/B$4-1</f>
        <v>0.370357393132446</v>
      </c>
      <c r="K6" s="8" t="n">
        <f aca="false">D6/D$4-1</f>
        <v>0.822085889570552</v>
      </c>
      <c r="L6" s="8" t="n">
        <f aca="false">F6/F$4-1</f>
        <v>0.668154761904762</v>
      </c>
      <c r="M6" s="8" t="n">
        <f aca="false">H6/H$4-1</f>
        <v>0.450094161958569</v>
      </c>
    </row>
    <row r="7" customFormat="false" ht="15" hidden="false" customHeight="false" outlineLevel="0" collapsed="false">
      <c r="A7" s="5" t="s">
        <v>38</v>
      </c>
      <c r="B7" s="7" t="n">
        <v>38.72</v>
      </c>
      <c r="C7" s="7" t="n">
        <v>4.5</v>
      </c>
      <c r="D7" s="7" t="n">
        <v>5.43</v>
      </c>
      <c r="E7" s="7" t="n">
        <v>0.8</v>
      </c>
      <c r="F7" s="7" t="n">
        <v>31.04</v>
      </c>
      <c r="G7" s="7" t="n">
        <v>4.7</v>
      </c>
      <c r="H7" s="7" t="n">
        <v>7.86</v>
      </c>
      <c r="I7" s="7" t="n">
        <v>0.9</v>
      </c>
      <c r="J7" s="8" t="n">
        <f aca="false">B7/B$4-1</f>
        <v>0.356692361597758</v>
      </c>
      <c r="K7" s="8" t="n">
        <f aca="false">D7/D$4-1</f>
        <v>0.665644171779141</v>
      </c>
      <c r="L7" s="8" t="n">
        <f aca="false">F7/F$4-1</f>
        <v>0.53968253968254</v>
      </c>
      <c r="M7" s="8" t="n">
        <f aca="false">H7/H$4-1</f>
        <v>0.480225988700565</v>
      </c>
    </row>
    <row r="9" customFormat="false" ht="15" hidden="false" customHeight="false" outlineLevel="0" collapsed="false">
      <c r="A9" s="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2026-09-21T04:02:06Z</dcterms:created>
  <dc:creator>openpyxl</dc:creator>
  <dc:description/>
  <dc:language>en-US</dc:language>
  <cp:lastModifiedBy/>
  <dcterms:modified xsi:type="dcterms:W3CDTF">2026-09-21T04:02:06Z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